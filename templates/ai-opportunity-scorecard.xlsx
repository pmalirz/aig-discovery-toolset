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  <font>
      <b val="1"/>
      <color rgb="000000FF"/>
    </font>
    <font>
      <b val="1"/>
      <i val="1"/>
    </font>
    <font>
      <b val="1"/>
      <i val="1"/>
      <color rgb="00006100"/>
    </font>
    <font>
      <b val="1"/>
      <color rgb="00006100"/>
    </font>
    <font>
      <b val="1"/>
      <sz val="14"/>
    </font>
    <font>
      <b val="1"/>
      <color rgb="00008000"/>
      <sz val="14"/>
    </font>
  </fonts>
  <fills count="7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BFBFBF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2" fontId="0" fillId="0" borderId="0" pivotButton="0" quotePrefix="0" xfId="0"/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9" fontId="3" fillId="4" borderId="1" applyAlignment="1" pivotButton="0" quotePrefix="0" xfId="0">
      <alignment horizontal="center"/>
    </xf>
    <xf numFmtId="0" fontId="0" fillId="4" borderId="1" pivotButton="0" quotePrefix="0" xfId="0"/>
    <xf numFmtId="9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0" fillId="5" borderId="1" pivotButton="0" quotePrefix="0" xfId="0"/>
    <xf numFmtId="2" fontId="2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right"/>
    </xf>
    <xf numFmtId="0" fontId="0" fillId="6" borderId="1" pivotButton="0" quotePrefix="0" xfId="0"/>
    <xf numFmtId="2" fontId="7" fillId="6" borderId="1" applyAlignment="1" pivotButton="0" quotePrefix="0" xfId="0">
      <alignment horizontal="center"/>
    </xf>
    <xf numFmtId="0" fontId="8" fillId="4" borderId="1" applyAlignment="1" pivotButton="0" quotePrefix="0" xfId="0">
      <alignment horizontal="right"/>
    </xf>
    <xf numFmtId="2" fontId="9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006100"/>
      </font>
      <fill>
        <patternFill patternType="solid">
          <fgColor rgb="00E2EFDA"/>
          <bgColor rgb="00E2EFDA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b val="1"/>
        <color rgb="00C65911"/>
      </font>
      <fill>
        <patternFill patternType="solid">
          <fgColor rgb="00FCE4D6"/>
          <bgColor rgb="00FCE4D6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Dimension Scores (Avg out of 5)</a:t>
            </a:r>
          </a:p>
        </rich>
      </tx>
    </title>
    <plotArea>
      <radarChart>
        <radarStyle val="filled"/>
        <ser>
          <idx val="0"/>
          <order val="0"/>
          <tx>
            <strRef>
              <f>'Assessment Form'!I2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'Assessment Form'!$H$3:$H$8</f>
            </numRef>
          </cat>
          <val>
            <numRef>
              <f>'Assessment Form'!$I$3:$I$8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60</row>
      <rowOff>0</rowOff>
    </from>
    <ext cx="72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30" customWidth="1" min="5" max="5"/>
    <col width="60" customWidth="1" min="6" max="6"/>
    <col width="35" customWidth="1" min="8" max="8"/>
    <col width="12" customWidth="1" min="9" max="9"/>
  </cols>
  <sheetData>
    <row r="1" ht="30" customHeight="1">
      <c r="A1" s="1" t="inlineStr">
        <is>
          <t>AI Opportunity Assessment Form</t>
        </is>
      </c>
    </row>
    <row r="2">
      <c r="H2" s="2" t="inlineStr">
        <is>
          <t>Dimension</t>
        </is>
      </c>
      <c r="I2" s="2" t="inlineStr">
        <is>
          <t>Avg Score</t>
        </is>
      </c>
    </row>
    <row r="3">
      <c r="B3" s="2" t="inlineStr">
        <is>
          <t>Idea / Project Name:</t>
        </is>
      </c>
      <c r="C3" s="3" t="n"/>
      <c r="D3" s="4" t="n"/>
      <c r="E3" s="4" t="n"/>
      <c r="F3" s="5" t="n"/>
      <c r="H3" t="inlineStr">
        <is>
          <t>Business Value &amp; Strategic Fit</t>
        </is>
      </c>
      <c r="I3" s="6">
        <f>D16</f>
        <v/>
      </c>
    </row>
    <row r="4">
      <c r="B4" s="2" t="inlineStr">
        <is>
          <t>Submitted By (Team):</t>
        </is>
      </c>
      <c r="C4" s="3" t="n"/>
      <c r="D4" s="4" t="n"/>
      <c r="E4" s="4" t="n"/>
      <c r="F4" s="5" t="n"/>
      <c r="H4" t="inlineStr">
        <is>
          <t>Data Readiness &amp; Availability</t>
        </is>
      </c>
      <c r="I4" s="6">
        <f>D24</f>
        <v/>
      </c>
    </row>
    <row r="5">
      <c r="B5" s="2" t="inlineStr">
        <is>
          <t>Date:</t>
        </is>
      </c>
      <c r="C5" s="3" t="n"/>
      <c r="D5" s="4" t="n"/>
      <c r="E5" s="4" t="n"/>
      <c r="F5" s="5" t="n"/>
      <c r="H5" t="inlineStr">
        <is>
          <t>Technical Feasibility &amp; Architecture Fit</t>
        </is>
      </c>
      <c r="I5" s="6">
        <f>D33</f>
        <v/>
      </c>
    </row>
    <row r="6">
      <c r="H6" t="inlineStr">
        <is>
          <t>Cost, Effort &amp; ROI</t>
        </is>
      </c>
      <c r="I6" s="6">
        <f>D41</f>
        <v/>
      </c>
    </row>
    <row r="7">
      <c r="A7" s="7" t="inlineStr">
        <is>
          <t>#</t>
        </is>
      </c>
      <c r="B7" s="7" t="inlineStr">
        <is>
          <t>Criterion</t>
        </is>
      </c>
      <c r="C7" s="7" t="inlineStr">
        <is>
          <t>Weight</t>
        </is>
      </c>
      <c r="D7" s="7" t="inlineStr">
        <is>
          <t>Score (1-5)</t>
        </is>
      </c>
      <c r="E7" s="7" t="inlineStr">
        <is>
          <t>Score x Weight</t>
        </is>
      </c>
      <c r="F7" s="7" t="inlineStr">
        <is>
          <t>Evidence / Notes</t>
        </is>
      </c>
      <c r="H7" t="inlineStr">
        <is>
          <t>Risk &amp; Ethical Profile</t>
        </is>
      </c>
      <c r="I7" s="6">
        <f>D51</f>
        <v/>
      </c>
    </row>
    <row r="8">
      <c r="A8" s="8" t="inlineStr">
        <is>
          <t>1. Business Value &amp; Strategic Fit (30%)</t>
        </is>
      </c>
      <c r="B8" s="3" t="n"/>
      <c r="C8" s="9" t="n">
        <v>0.3</v>
      </c>
      <c r="D8" s="10" t="n"/>
      <c r="E8" s="10" t="n"/>
      <c r="F8" s="10" t="n"/>
      <c r="H8" t="inlineStr">
        <is>
          <t>Organisational &amp; Change Readiness</t>
        </is>
      </c>
      <c r="I8" s="6">
        <f>D59</f>
        <v/>
      </c>
    </row>
    <row r="9">
      <c r="A9" s="3" t="n"/>
      <c r="B9" s="3" t="inlineStr">
        <is>
          <t>1a. Magnitude of business impact</t>
        </is>
      </c>
      <c r="C9" s="11" t="n">
        <v>0.35</v>
      </c>
      <c r="D9" s="12" t="n"/>
      <c r="E9" s="13">
        <f>C9*D9</f>
        <v/>
      </c>
      <c r="F9" s="3" t="n"/>
    </row>
    <row r="10">
      <c r="A10" s="3" t="n"/>
      <c r="B10" s="3" t="inlineStr">
        <is>
          <t>1b. Strategic alignment</t>
        </is>
      </c>
      <c r="C10" s="11" t="n">
        <v>0.15</v>
      </c>
      <c r="D10" s="12" t="n"/>
      <c r="E10" s="13">
        <f>C10*D10</f>
        <v/>
      </c>
      <c r="F10" s="3" t="n"/>
    </row>
    <row r="11">
      <c r="A11" s="3" t="n"/>
      <c r="B11" s="3" t="inlineStr">
        <is>
          <t>1c. Scalability of value</t>
        </is>
      </c>
      <c r="C11" s="11" t="n">
        <v>0.1</v>
      </c>
      <c r="D11" s="12" t="n"/>
      <c r="E11" s="13">
        <f>C11*D11</f>
        <v/>
      </c>
      <c r="F11" s="3" t="n"/>
    </row>
    <row r="12">
      <c r="A12" s="3" t="n"/>
      <c r="B12" s="3" t="inlineStr">
        <is>
          <t>1d. Time-to-value</t>
        </is>
      </c>
      <c r="C12" s="11" t="n">
        <v>0.15</v>
      </c>
      <c r="D12" s="12" t="n"/>
      <c r="E12" s="13">
        <f>C12*D12</f>
        <v/>
      </c>
      <c r="F12" s="3" t="n"/>
    </row>
    <row r="13">
      <c r="A13" s="3" t="n"/>
      <c r="B13" s="3" t="inlineStr">
        <is>
          <t>1e. Competitive differentiation</t>
        </is>
      </c>
      <c r="C13" s="11" t="n">
        <v>0.1</v>
      </c>
      <c r="D13" s="12" t="n"/>
      <c r="E13" s="13">
        <f>C13*D13</f>
        <v/>
      </c>
      <c r="F13" s="3" t="n"/>
    </row>
    <row r="14">
      <c r="A14" s="3" t="n"/>
      <c r="B14" s="3" t="inlineStr">
        <is>
          <t>1f. End-User Desirability &amp; Workflow Fit</t>
        </is>
      </c>
      <c r="C14" s="11" t="n">
        <v>0.15</v>
      </c>
      <c r="D14" s="12" t="n"/>
      <c r="E14" s="13">
        <f>C14*D14</f>
        <v/>
      </c>
      <c r="F14" s="3" t="n"/>
    </row>
    <row r="15">
      <c r="A15" s="14" t="inlineStr">
        <is>
          <t>Weighted Subtotal</t>
        </is>
      </c>
      <c r="B15" s="15" t="n"/>
      <c r="C15" s="15" t="n"/>
      <c r="D15" s="15" t="n"/>
      <c r="E15" s="16">
        <f>SUM(E9:E14)*C8</f>
        <v/>
      </c>
      <c r="F15" s="15" t="n"/>
    </row>
    <row r="16">
      <c r="A16" s="17" t="inlineStr">
        <is>
          <t>Avg Score (out of 5)</t>
        </is>
      </c>
      <c r="B16" s="18" t="n"/>
      <c r="C16" s="18" t="n"/>
      <c r="D16" s="19">
        <f>IFERROR(SUM(D9:D14)/6,0)</f>
        <v/>
      </c>
      <c r="E16" s="18" t="n"/>
      <c r="F16" s="18" t="n"/>
    </row>
    <row r="18">
      <c r="A18" s="8" t="inlineStr">
        <is>
          <t>2. Data Readiness &amp; Availability (20%)</t>
        </is>
      </c>
      <c r="B18" s="3" t="n"/>
      <c r="C18" s="9" t="n">
        <v>0.2</v>
      </c>
      <c r="D18" s="10" t="n"/>
      <c r="E18" s="10" t="n"/>
      <c r="F18" s="10" t="n"/>
    </row>
    <row r="19">
      <c r="A19" s="3" t="n"/>
      <c r="B19" s="3" t="inlineStr">
        <is>
          <t>2a. Data existence &amp; accessibility</t>
        </is>
      </c>
      <c r="C19" s="11" t="n">
        <v>0.3</v>
      </c>
      <c r="D19" s="12" t="n"/>
      <c r="E19" s="13">
        <f>C19*D19</f>
        <v/>
      </c>
      <c r="F19" s="3" t="n"/>
    </row>
    <row r="20">
      <c r="A20" s="3" t="n"/>
      <c r="B20" s="3" t="inlineStr">
        <is>
          <t>2b. Data volume &amp; representativeness</t>
        </is>
      </c>
      <c r="C20" s="11" t="n">
        <v>0.25</v>
      </c>
      <c r="D20" s="12" t="n"/>
      <c r="E20" s="13">
        <f>C20*D20</f>
        <v/>
      </c>
      <c r="F20" s="3" t="n"/>
    </row>
    <row r="21">
      <c r="A21" s="3" t="n"/>
      <c r="B21" s="3" t="inlineStr">
        <is>
          <t>2c. Data quality</t>
        </is>
      </c>
      <c r="C21" s="11" t="n">
        <v>0.25</v>
      </c>
      <c r="D21" s="12" t="n"/>
      <c r="E21" s="13">
        <f>C21*D21</f>
        <v/>
      </c>
      <c r="F21" s="3" t="n"/>
    </row>
    <row r="22">
      <c r="A22" s="3" t="n"/>
      <c r="B22" s="3" t="inlineStr">
        <is>
          <t>2d. Data governance &amp; ownership</t>
        </is>
      </c>
      <c r="C22" s="11" t="n">
        <v>0.2</v>
      </c>
      <c r="D22" s="12" t="n"/>
      <c r="E22" s="13">
        <f>C22*D22</f>
        <v/>
      </c>
      <c r="F22" s="3" t="n"/>
    </row>
    <row r="23">
      <c r="A23" s="14" t="inlineStr">
        <is>
          <t>Weighted Subtotal</t>
        </is>
      </c>
      <c r="B23" s="15" t="n"/>
      <c r="C23" s="15" t="n"/>
      <c r="D23" s="15" t="n"/>
      <c r="E23" s="16">
        <f>SUM(E19:E22)*C18</f>
        <v/>
      </c>
      <c r="F23" s="15" t="n"/>
    </row>
    <row r="24">
      <c r="A24" s="17" t="inlineStr">
        <is>
          <t>Avg Score (out of 5)</t>
        </is>
      </c>
      <c r="B24" s="18" t="n"/>
      <c r="C24" s="18" t="n"/>
      <c r="D24" s="19">
        <f>IFERROR(SUM(D19:D22)/4,0)</f>
        <v/>
      </c>
      <c r="E24" s="18" t="n"/>
      <c r="F24" s="18" t="n"/>
    </row>
    <row r="26">
      <c r="A26" s="8" t="inlineStr">
        <is>
          <t>3. Technical Feasibility &amp; Architecture Fit (15%)</t>
        </is>
      </c>
      <c r="B26" s="3" t="n"/>
      <c r="C26" s="9" t="n">
        <v>0.15</v>
      </c>
      <c r="D26" s="10" t="n"/>
      <c r="E26" s="10" t="n"/>
      <c r="F26" s="10" t="n"/>
    </row>
    <row r="27">
      <c r="A27" s="3" t="n"/>
      <c r="B27" s="3" t="inlineStr">
        <is>
          <t>3a. Solution maturity</t>
        </is>
      </c>
      <c r="C27" s="11" t="n">
        <v>0.2</v>
      </c>
      <c r="D27" s="12" t="n"/>
      <c r="E27" s="13">
        <f>C27*D27</f>
        <v/>
      </c>
      <c r="F27" s="3" t="n"/>
    </row>
    <row r="28">
      <c r="A28" s="3" t="n"/>
      <c r="B28" s="3" t="inlineStr">
        <is>
          <t>3b. Integration complexity</t>
        </is>
      </c>
      <c r="C28" s="11" t="n">
        <v>0.2</v>
      </c>
      <c r="D28" s="12" t="n"/>
      <c r="E28" s="13">
        <f>C28*D28</f>
        <v/>
      </c>
      <c r="F28" s="3" t="n"/>
    </row>
    <row r="29">
      <c r="A29" s="3" t="n"/>
      <c r="B29" s="3" t="inlineStr">
        <is>
          <t>3c. Build vs buy decision clarity</t>
        </is>
      </c>
      <c r="C29" s="11" t="n">
        <v>0.15</v>
      </c>
      <c r="D29" s="12" t="n"/>
      <c r="E29" s="13">
        <f>C29*D29</f>
        <v/>
      </c>
      <c r="F29" s="3" t="n"/>
    </row>
    <row r="30">
      <c r="A30" s="3" t="n"/>
      <c r="B30" s="3" t="inlineStr">
        <is>
          <t>3d. Infrastructure &amp; MLOps readiness</t>
        </is>
      </c>
      <c r="C30" s="11" t="n">
        <v>0.25</v>
      </c>
      <c r="D30" s="12" t="n"/>
      <c r="E30" s="13">
        <f>C30*D30</f>
        <v/>
      </c>
      <c r="F30" s="3" t="n"/>
    </row>
    <row r="31">
      <c r="A31" s="3" t="n"/>
      <c r="B31" s="3" t="inlineStr">
        <is>
          <t>3e. Vendor / technology lock-in risk</t>
        </is>
      </c>
      <c r="C31" s="11" t="n">
        <v>0.2</v>
      </c>
      <c r="D31" s="12" t="n"/>
      <c r="E31" s="13">
        <f>C31*D31</f>
        <v/>
      </c>
      <c r="F31" s="3" t="n"/>
    </row>
    <row r="32">
      <c r="A32" s="14" t="inlineStr">
        <is>
          <t>Weighted Subtotal</t>
        </is>
      </c>
      <c r="B32" s="15" t="n"/>
      <c r="C32" s="15" t="n"/>
      <c r="D32" s="15" t="n"/>
      <c r="E32" s="16">
        <f>SUM(E27:E31)*C26</f>
        <v/>
      </c>
      <c r="F32" s="15" t="n"/>
    </row>
    <row r="33">
      <c r="A33" s="17" t="inlineStr">
        <is>
          <t>Avg Score (out of 5)</t>
        </is>
      </c>
      <c r="B33" s="18" t="n"/>
      <c r="C33" s="18" t="n"/>
      <c r="D33" s="19">
        <f>IFERROR(SUM(D27:D31)/5,0)</f>
        <v/>
      </c>
      <c r="E33" s="18" t="n"/>
      <c r="F33" s="18" t="n"/>
    </row>
    <row r="35">
      <c r="A35" s="8" t="inlineStr">
        <is>
          <t>4. Cost, Effort &amp; ROI (15%)</t>
        </is>
      </c>
      <c r="B35" s="3" t="n"/>
      <c r="C35" s="9" t="n">
        <v>0.15</v>
      </c>
      <c r="D35" s="10" t="n"/>
      <c r="E35" s="10" t="n"/>
      <c r="F35" s="10" t="n"/>
    </row>
    <row r="36">
      <c r="A36" s="3" t="n"/>
      <c r="B36" s="3" t="inlineStr">
        <is>
          <t>4a. Implementation cost (CAPEX)</t>
        </is>
      </c>
      <c r="C36" s="11" t="n">
        <v>0.25</v>
      </c>
      <c r="D36" s="12" t="n"/>
      <c r="E36" s="13">
        <f>C36*D36</f>
        <v/>
      </c>
      <c r="F36" s="3" t="n"/>
    </row>
    <row r="37">
      <c r="A37" s="3" t="n"/>
      <c r="B37" s="3" t="inlineStr">
        <is>
          <t>4b. Ongoing operational cost (OPEX)</t>
        </is>
      </c>
      <c r="C37" s="11" t="n">
        <v>0.2</v>
      </c>
      <c r="D37" s="12" t="n"/>
      <c r="E37" s="13">
        <f>C37*D37</f>
        <v/>
      </c>
      <c r="F37" s="3" t="n"/>
    </row>
    <row r="38">
      <c r="A38" s="3" t="n"/>
      <c r="B38" s="3" t="inlineStr">
        <is>
          <t>4c. Estimated ROI &amp; payback period</t>
        </is>
      </c>
      <c r="C38" s="11" t="n">
        <v>0.35</v>
      </c>
      <c r="D38" s="12" t="n"/>
      <c r="E38" s="13">
        <f>C38*D38</f>
        <v/>
      </c>
      <c r="F38" s="3" t="n"/>
    </row>
    <row r="39">
      <c r="A39" s="3" t="n"/>
      <c r="B39" s="3" t="inlineStr">
        <is>
          <t>4d. Organisational effort (change burden)</t>
        </is>
      </c>
      <c r="C39" s="11" t="n">
        <v>0.2</v>
      </c>
      <c r="D39" s="12" t="n"/>
      <c r="E39" s="13">
        <f>C39*D39</f>
        <v/>
      </c>
      <c r="F39" s="3" t="n"/>
    </row>
    <row r="40">
      <c r="A40" s="14" t="inlineStr">
        <is>
          <t>Weighted Subtotal</t>
        </is>
      </c>
      <c r="B40" s="15" t="n"/>
      <c r="C40" s="15" t="n"/>
      <c r="D40" s="15" t="n"/>
      <c r="E40" s="16">
        <f>SUM(E36:E39)*C35</f>
        <v/>
      </c>
      <c r="F40" s="15" t="n"/>
    </row>
    <row r="41">
      <c r="A41" s="17" t="inlineStr">
        <is>
          <t>Avg Score (out of 5)</t>
        </is>
      </c>
      <c r="B41" s="18" t="n"/>
      <c r="C41" s="18" t="n"/>
      <c r="D41" s="19">
        <f>IFERROR(SUM(D36:D39)/4,0)</f>
        <v/>
      </c>
      <c r="E41" s="18" t="n"/>
      <c r="F41" s="18" t="n"/>
    </row>
    <row r="43">
      <c r="A43" s="8" t="inlineStr">
        <is>
          <t>5. Risk &amp; Ethical Profile (10%)</t>
        </is>
      </c>
      <c r="B43" s="3" t="n"/>
      <c r="C43" s="9" t="n">
        <v>0.1</v>
      </c>
      <c r="D43" s="10" t="n"/>
      <c r="E43" s="10" t="n"/>
      <c r="F43" s="10" t="n"/>
    </row>
    <row r="44">
      <c r="A44" s="3" t="n"/>
      <c r="B44" s="3" t="inlineStr">
        <is>
          <t>5a. Regulatory &amp; compliance risk</t>
        </is>
      </c>
      <c r="C44" s="11" t="n">
        <v>0.2</v>
      </c>
      <c r="D44" s="12" t="n"/>
      <c r="E44" s="13">
        <f>C44*D44</f>
        <v/>
      </c>
      <c r="F44" s="3" t="n"/>
    </row>
    <row r="45">
      <c r="A45" s="3" t="n"/>
      <c r="B45" s="3" t="inlineStr">
        <is>
          <t>5b. AI output quality risk</t>
        </is>
      </c>
      <c r="C45" s="11" t="n">
        <v>0.25</v>
      </c>
      <c r="D45" s="12" t="n"/>
      <c r="E45" s="13">
        <f>C45*D45</f>
        <v/>
      </c>
      <c r="F45" s="3" t="n"/>
    </row>
    <row r="46">
      <c r="A46" s="3" t="n"/>
      <c r="B46" s="3" t="inlineStr">
        <is>
          <t>5c. Data privacy &amp; security risk</t>
        </is>
      </c>
      <c r="C46" s="11" t="n">
        <v>0.2</v>
      </c>
      <c r="D46" s="12" t="n"/>
      <c r="E46" s="13">
        <f>C46*D46</f>
        <v/>
      </c>
      <c r="F46" s="3" t="n"/>
    </row>
    <row r="47">
      <c r="A47" s="3" t="n"/>
      <c r="B47" s="3" t="inlineStr">
        <is>
          <t>5d. Adoption &amp; change resistance risk</t>
        </is>
      </c>
      <c r="C47" s="11" t="n">
        <v>0.15</v>
      </c>
      <c r="D47" s="12" t="n"/>
      <c r="E47" s="13">
        <f>C47*D47</f>
        <v/>
      </c>
      <c r="F47" s="3" t="n"/>
    </row>
    <row r="48">
      <c r="A48" s="3" t="n"/>
      <c r="B48" s="3" t="inlineStr">
        <is>
          <t>5e. Dependency &amp; concentration risk</t>
        </is>
      </c>
      <c r="C48" s="11" t="n">
        <v>0.05</v>
      </c>
      <c r="D48" s="12" t="n"/>
      <c r="E48" s="13">
        <f>C48*D48</f>
        <v/>
      </c>
      <c r="F48" s="3" t="n"/>
    </row>
    <row r="49">
      <c r="A49" s="3" t="n"/>
      <c r="B49" s="3" t="inlineStr">
        <is>
          <t>5f. Explainability, Fairness &amp; Ethical Risk</t>
        </is>
      </c>
      <c r="C49" s="11" t="n">
        <v>0.15</v>
      </c>
      <c r="D49" s="12" t="n"/>
      <c r="E49" s="13">
        <f>C49*D49</f>
        <v/>
      </c>
      <c r="F49" s="3" t="n"/>
    </row>
    <row r="50">
      <c r="A50" s="14" t="inlineStr">
        <is>
          <t>Weighted Subtotal</t>
        </is>
      </c>
      <c r="B50" s="15" t="n"/>
      <c r="C50" s="15" t="n"/>
      <c r="D50" s="15" t="n"/>
      <c r="E50" s="16">
        <f>SUM(E44:E49)*C43</f>
        <v/>
      </c>
      <c r="F50" s="15" t="n"/>
    </row>
    <row r="51">
      <c r="A51" s="17" t="inlineStr">
        <is>
          <t>Avg Score (out of 5)</t>
        </is>
      </c>
      <c r="B51" s="18" t="n"/>
      <c r="C51" s="18" t="n"/>
      <c r="D51" s="19">
        <f>IFERROR(SUM(D44:D49)/6,0)</f>
        <v/>
      </c>
      <c r="E51" s="18" t="n"/>
      <c r="F51" s="18" t="n"/>
    </row>
    <row r="53">
      <c r="A53" s="8" t="inlineStr">
        <is>
          <t>6. Organisational &amp; Change Readiness (10%)</t>
        </is>
      </c>
      <c r="B53" s="3" t="n"/>
      <c r="C53" s="9" t="n">
        <v>0.1</v>
      </c>
      <c r="D53" s="10" t="n"/>
      <c r="E53" s="10" t="n"/>
      <c r="F53" s="10" t="n"/>
    </row>
    <row r="54">
      <c r="A54" s="3" t="n"/>
      <c r="B54" s="3" t="inlineStr">
        <is>
          <t>6a. Executive sponsorship</t>
        </is>
      </c>
      <c r="C54" s="11" t="n">
        <v>0.3</v>
      </c>
      <c r="D54" s="12" t="n"/>
      <c r="E54" s="13">
        <f>C54*D54</f>
        <v/>
      </c>
      <c r="F54" s="3" t="n"/>
    </row>
    <row r="55">
      <c r="A55" s="3" t="n"/>
      <c r="B55" s="3" t="inlineStr">
        <is>
          <t>6b. Internal AI capability &amp; talent</t>
        </is>
      </c>
      <c r="C55" s="11" t="n">
        <v>0.25</v>
      </c>
      <c r="D55" s="12" t="n"/>
      <c r="E55" s="13">
        <f>C55*D55</f>
        <v/>
      </c>
      <c r="F55" s="3" t="n"/>
    </row>
    <row r="56">
      <c r="A56" s="3" t="n"/>
      <c r="B56" s="3" t="inlineStr">
        <is>
          <t>6c. Digital &amp; data culture maturity</t>
        </is>
      </c>
      <c r="C56" s="11" t="n">
        <v>0.2</v>
      </c>
      <c r="D56" s="12" t="n"/>
      <c r="E56" s="13">
        <f>C56*D56</f>
        <v/>
      </c>
      <c r="F56" s="3" t="n"/>
    </row>
    <row r="57">
      <c r="A57" s="3" t="n"/>
      <c r="B57" s="3" t="inlineStr">
        <is>
          <t>6d. AI governance framework</t>
        </is>
      </c>
      <c r="C57" s="11" t="n">
        <v>0.25</v>
      </c>
      <c r="D57" s="12" t="n"/>
      <c r="E57" s="13">
        <f>C57*D57</f>
        <v/>
      </c>
      <c r="F57" s="3" t="n"/>
    </row>
    <row r="58">
      <c r="A58" s="14" t="inlineStr">
        <is>
          <t>Weighted Subtotal</t>
        </is>
      </c>
      <c r="B58" s="15" t="n"/>
      <c r="C58" s="15" t="n"/>
      <c r="D58" s="15" t="n"/>
      <c r="E58" s="16">
        <f>SUM(E54:E57)*C53</f>
        <v/>
      </c>
      <c r="F58" s="15" t="n"/>
    </row>
    <row r="59">
      <c r="A59" s="17" t="inlineStr">
        <is>
          <t>Avg Score (out of 5)</t>
        </is>
      </c>
      <c r="B59" s="18" t="n"/>
      <c r="C59" s="18" t="n"/>
      <c r="D59" s="19">
        <f>IFERROR(SUM(D54:D57)/4,0)</f>
        <v/>
      </c>
      <c r="E59" s="18" t="n"/>
      <c r="F59" s="18" t="n"/>
    </row>
    <row r="61">
      <c r="A61" s="20" t="inlineStr">
        <is>
          <t>TOTAL SCORE (Out of 5.00):</t>
        </is>
      </c>
      <c r="B61" s="10" t="n"/>
      <c r="C61" s="10" t="n"/>
      <c r="D61" s="10" t="n"/>
      <c r="E61" s="21">
        <f>E15+E23+E32+E40+E50+E58</f>
        <v/>
      </c>
    </row>
    <row r="63">
      <c r="A63" s="22" t="inlineStr">
        <is>
          <t>Verdict:</t>
        </is>
      </c>
      <c r="B63" s="3" t="n"/>
      <c r="C63" s="3" t="n"/>
      <c r="D63" s="3" t="n"/>
      <c r="E63" s="23">
        <f>IF(E61&gt;=4.25,"✅ Proceed",IF(E61&gt;=3.5,"🟢 Proceed with conditions",IF(E61&gt;=2.75,"🟡 Pilot / de-risk first",IF(E61&gt;=2,"🟠 Defer","🔴 Do not proceed"))))</f>
        <v/>
      </c>
    </row>
    <row r="64" ht="45" customHeight="1">
      <c r="A64" s="22" t="inlineStr">
        <is>
          <t>Action:</t>
        </is>
      </c>
      <c r="B64" s="3" t="n"/>
      <c r="C64" s="3" t="n"/>
      <c r="D64" s="3" t="n"/>
      <c r="E64" s="24">
        <f>IF(E61&gt;=4.25,"Strong case. Prioritise and move to solution design.",IF(E61&gt;=3.5,"Good potential. Address identified gaps first.",IF(E61&gt;=2.75,"Mixed picture. Run a focused proof of concept.",IF(E61&gt;=2,"Significant blockers. Create a remediation roadmap.","Fundamental blockers. Revisit in 12 months."))))</f>
        <v/>
      </c>
    </row>
  </sheetData>
  <mergeCells count="25">
    <mergeCell ref="A41:C41"/>
    <mergeCell ref="A63:D63"/>
    <mergeCell ref="A50:C50"/>
    <mergeCell ref="A33:C33"/>
    <mergeCell ref="C3:F3"/>
    <mergeCell ref="A23:C23"/>
    <mergeCell ref="A32:C32"/>
    <mergeCell ref="A64:D64"/>
    <mergeCell ref="A18:B18"/>
    <mergeCell ref="C5:F5"/>
    <mergeCell ref="A26:B26"/>
    <mergeCell ref="A61:D61"/>
    <mergeCell ref="C4:F4"/>
    <mergeCell ref="A58:C58"/>
    <mergeCell ref="A40:C40"/>
    <mergeCell ref="A15:C15"/>
    <mergeCell ref="A59:C59"/>
    <mergeCell ref="A8:B8"/>
    <mergeCell ref="A24:C24"/>
    <mergeCell ref="A53:B53"/>
    <mergeCell ref="A51:C51"/>
    <mergeCell ref="A35:B35"/>
    <mergeCell ref="A43:B43"/>
    <mergeCell ref="A1:F1"/>
    <mergeCell ref="A16:C16"/>
  </mergeCells>
  <conditionalFormatting sqref="E63">
    <cfRule type="cellIs" priority="1" operator="equal" dxfId="0" stopIfTrue="1">
      <formula>"✅ Proceed"</formula>
    </cfRule>
    <cfRule type="cellIs" priority="2" operator="equal" dxfId="1" stopIfTrue="1">
      <formula>"🟢 Proceed with conditions"</formula>
    </cfRule>
    <cfRule type="cellIs" priority="3" operator="equal" dxfId="2" stopIfTrue="1">
      <formula>"🟡 Pilot / de-risk first"</formula>
    </cfRule>
    <cfRule type="cellIs" priority="4" operator="equal" dxfId="3" stopIfTrue="1">
      <formula>"🟠 Defer"</formula>
    </cfRule>
    <cfRule type="cellIs" priority="5" operator="equal" dxfId="4" stopIfTrue="1">
      <formula>"🔴 Do not proceed"</formula>
    </cfRule>
  </conditionalFormatting>
  <dataValidations count="1">
    <dataValidation sqref="D9 D10 D11 D12 D13 D14 D19 D20 D21 D22 D27 D28 D29 D30 D31 D36 D37 D38 D39 D44 D45 D46 D47 D48 D49 D54 D55 D56 D57" showDropDown="0" showInputMessage="0" showErrorMessage="0" allowBlank="1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2026-04-22T18:08:44Z</dcterms:created>
  <dcterms:modified xmlns:dcterms="http://purl.org/dc/terms/" xmlns:xsi="http://www.w3.org/2001/XMLSchema-instance" xsi:type="dcterms:W3CDTF">2026-04-22T18:08:44Z</dcterms:modified>
</cp:coreProperties>
</file>